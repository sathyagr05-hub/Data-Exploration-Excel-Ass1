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ata Analytics\New folder\"/>
    </mc:Choice>
  </mc:AlternateContent>
  <xr:revisionPtr revIDLastSave="0" documentId="8_{6B1F9E1D-D510-4495-9AEF-555B58FFA8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</sheets>
  <definedNames>
    <definedName name="_xlnm._FilterDatabase" localSheetId="0" hidden="1">Dataset!$A$1:$F$35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2" i="1"/>
  <c r="K22" i="1"/>
  <c r="K20" i="1"/>
  <c r="K18" i="1"/>
  <c r="K1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2" i="1"/>
  <c r="K11" i="1"/>
  <c r="K9" i="1"/>
  <c r="K7" i="1"/>
  <c r="K5" i="1"/>
  <c r="K3" i="1"/>
</calcChain>
</file>

<file path=xl/sharedStrings.xml><?xml version="1.0" encoding="utf-8"?>
<sst xmlns="http://schemas.openxmlformats.org/spreadsheetml/2006/main" count="177" uniqueCount="128">
  <si>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</si>
  <si>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</si>
  <si>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</si>
  <si>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</si>
  <si>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</si>
  <si>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</si>
  <si>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</si>
  <si>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</si>
  <si>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</si>
  <si>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</si>
  <si>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</si>
  <si>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</si>
  <si>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</si>
  <si>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</si>
  <si>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</si>
  <si>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</si>
  <si>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</si>
  <si>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</si>
  <si>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</si>
  <si>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</si>
  <si>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</si>
  <si>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</si>
  <si>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</si>
  <si>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</si>
  <si>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</si>
  <si>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</si>
  <si>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</si>
  <si>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</si>
  <si>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</si>
  <si>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</si>
  <si>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</si>
  <si>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</si>
  <si>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</si>
  <si>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</si>
  <si>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</si>
  <si>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</si>
  <si>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</si>
  <si>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</si>
  <si>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</si>
  <si>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</si>
  <si>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</si>
  <si>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</si>
  <si>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</si>
  <si>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</si>
  <si>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</si>
  <si>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</si>
  <si>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</si>
  <si>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</si>
  <si>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</si>
  <si>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</si>
  <si>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</si>
  <si>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</si>
  <si>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</si>
  <si>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</si>
  <si>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</si>
  <si>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</si>
  <si>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</si>
  <si>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</si>
  <si>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</si>
  <si>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</si>
  <si>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</si>
  <si>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</si>
  <si>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</si>
  <si>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</si>
  <si>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</si>
  <si>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</si>
  <si>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</si>
  <si>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</si>
  <si>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</si>
  <si>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</si>
  <si>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</si>
  <si>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</si>
  <si>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</si>
  <si>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</si>
  <si>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</si>
  <si>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</si>
  <si>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</si>
  <si>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</si>
  <si>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</si>
  <si>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</si>
  <si>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</si>
  <si>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</si>
  <si>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</si>
  <si>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</si>
  <si>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</si>
  <si>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</si>
  <si>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</si>
  <si>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</si>
  <si>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</si>
  <si>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</si>
  <si>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</si>
  <si>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</si>
  <si>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</si>
  <si>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SUM(D2:D35)</t>
  </si>
  <si>
    <r>
      <t xml:space="preserve">Determine </t>
    </r>
    <r>
      <rPr>
        <b/>
        <sz val="12"/>
        <color rgb="FF000000"/>
        <rFont val="Calibri"/>
        <family val="2"/>
      </rPr>
      <t>how many products exist in the dataset.</t>
    </r>
    <r>
      <rPr>
        <sz val="12"/>
        <color rgb="FF000000"/>
        <rFont val="Calibri"/>
        <family val="2"/>
      </rPr>
      <t xml:space="preserve"> </t>
    </r>
  </si>
  <si>
    <t>COUNTA(B2:B35)</t>
  </si>
  <si>
    <t>AVERAGE(D2:D35)</t>
  </si>
  <si>
    <r>
      <t xml:space="preserve">Create a new column named </t>
    </r>
    <r>
      <rPr>
        <b/>
        <sz val="12"/>
        <color rgb="FF000000"/>
        <rFont val="Calibri"/>
        <family val="2"/>
      </rPr>
      <t>Price Range</t>
    </r>
    <r>
      <rPr>
        <sz val="12"/>
        <color rgb="FF000000"/>
        <rFont val="Calibri"/>
        <family val="2"/>
      </rPr>
      <t>.</t>
    </r>
  </si>
  <si>
    <t>Price Range</t>
  </si>
  <si>
    <t>IF(D2&gt;=500,"High Price","Standard Price")</t>
  </si>
  <si>
    <t>MAX(E2:E35)</t>
  </si>
  <si>
    <t>MIN(E2:E35)</t>
  </si>
  <si>
    <r>
      <t xml:space="preserve">Use the </t>
    </r>
    <r>
      <rPr>
        <b/>
        <sz val="12"/>
        <color rgb="FF000000"/>
        <rFont val="Calibri"/>
        <family val="2"/>
      </rPr>
      <t>SUMIF function</t>
    </r>
    <r>
      <rPr>
        <sz val="12"/>
        <color rgb="FF000000"/>
        <rFont val="Calibri"/>
        <family val="2"/>
      </rPr>
      <t xml:space="preserve"> to calculate the </t>
    </r>
    <r>
      <rPr>
        <b/>
        <sz val="12"/>
        <color rgb="FF000000"/>
        <rFont val="Calibri"/>
        <family val="2"/>
      </rPr>
      <t>total price of products in the Electronics category</t>
    </r>
    <r>
      <rPr>
        <sz val="12"/>
        <color rgb="FF000000"/>
        <rFont val="Calibri"/>
        <family val="2"/>
      </rPr>
      <t>.</t>
    </r>
  </si>
  <si>
    <r>
      <t xml:space="preserve">Use the </t>
    </r>
    <r>
      <rPr>
        <b/>
        <sz val="12"/>
        <color rgb="FF000000"/>
        <rFont val="Calibri"/>
        <family val="2"/>
      </rPr>
      <t>COUNTIF function</t>
    </r>
    <r>
      <rPr>
        <sz val="12"/>
        <color rgb="FF000000"/>
        <rFont val="Calibri"/>
        <family val="2"/>
      </rPr>
      <t xml:space="preserve"> to determine the </t>
    </r>
    <r>
      <rPr>
        <b/>
        <sz val="12"/>
        <color rgb="FF000000"/>
        <rFont val="Calibri"/>
        <family val="2"/>
      </rPr>
      <t>number of products with a price less than $100</t>
    </r>
    <r>
      <rPr>
        <sz val="12"/>
        <color rgb="FF000000"/>
        <rFont val="Calibri"/>
        <family val="2"/>
      </rPr>
      <t>.</t>
    </r>
  </si>
  <si>
    <t>IF(D2&gt;=500,"High Price")</t>
  </si>
  <si>
    <t>IF(D2&gt;=500,"Standard Price")</t>
  </si>
  <si>
    <t>SUMIF(F2:F35,"Electronics",D2:D35)</t>
  </si>
  <si>
    <t>COUNTIF(D2:D35,"&lt;100")</t>
  </si>
  <si>
    <t xml:space="preserve">Formulas </t>
  </si>
  <si>
    <t>Question &amp; Answer</t>
  </si>
  <si>
    <t>Create the following new colum</t>
  </si>
  <si>
    <t>Day</t>
  </si>
  <si>
    <t xml:space="preserve"> Country Code</t>
  </si>
  <si>
    <t>Month</t>
  </si>
  <si>
    <t>MID(A2,4,3)</t>
  </si>
  <si>
    <t>LEFT(A2,2)</t>
  </si>
  <si>
    <t>RIGHT(A2,2)</t>
  </si>
  <si>
    <r>
      <t xml:space="preserve">Calculate the </t>
    </r>
    <r>
      <rPr>
        <b/>
        <sz val="12"/>
        <color rgb="FF000000"/>
        <rFont val="Calibri"/>
        <family val="2"/>
      </rPr>
      <t>total price of all products</t>
    </r>
    <r>
      <rPr>
        <sz val="12"/>
        <color rgb="FF000000"/>
        <rFont val="Calibri"/>
        <family val="2"/>
      </rPr>
      <t xml:space="preserve"> in the dataset.</t>
    </r>
  </si>
  <si>
    <r>
      <t xml:space="preserve">Identify the </t>
    </r>
    <r>
      <rPr>
        <b/>
        <sz val="12"/>
        <color rgb="FF000000"/>
        <rFont val="Calibri"/>
        <family val="2"/>
      </rPr>
      <t>maximum price</t>
    </r>
    <r>
      <rPr>
        <sz val="12"/>
        <color rgb="FF000000"/>
        <rFont val="Calibri"/>
        <family val="2"/>
      </rPr>
      <t xml:space="preserve"> among all products.</t>
    </r>
  </si>
  <si>
    <r>
      <t xml:space="preserve">Use the </t>
    </r>
    <r>
      <rPr>
        <b/>
        <sz val="12"/>
        <color rgb="FF000000"/>
        <rFont val="Calibri"/>
        <family val="2"/>
      </rPr>
      <t>IF function</t>
    </r>
    <r>
      <rPr>
        <sz val="12"/>
        <color rgb="FF000000"/>
        <rFont val="Calibri"/>
        <family val="2"/>
      </rPr>
      <t xml:space="preserve"> to categorize products based on their price:</t>
    </r>
  </si>
  <si>
    <r>
      <t xml:space="preserve">If </t>
    </r>
    <r>
      <rPr>
        <b/>
        <sz val="12"/>
        <color rgb="FF000000"/>
        <rFont val="Calibri"/>
        <family val="2"/>
      </rPr>
      <t>Price ≥ $500</t>
    </r>
    <r>
      <rPr>
        <sz val="12"/>
        <color rgb="FF000000"/>
        <rFont val="Calibri"/>
        <family val="2"/>
      </rPr>
      <t xml:space="preserve"> → classify as </t>
    </r>
    <r>
      <rPr>
        <b/>
        <sz val="12"/>
        <color rgb="FF000000"/>
        <rFont val="Calibri"/>
        <family val="2"/>
      </rPr>
      <t xml:space="preserve">High Price </t>
    </r>
  </si>
  <si>
    <r>
      <t xml:space="preserve">If </t>
    </r>
    <r>
      <rPr>
        <b/>
        <sz val="12"/>
        <color rgb="FF000000"/>
        <rFont val="Calibri"/>
        <family val="2"/>
      </rPr>
      <t>Price &lt; $500</t>
    </r>
    <r>
      <rPr>
        <sz val="12"/>
        <color rgb="FF000000"/>
        <rFont val="Calibri"/>
        <family val="2"/>
      </rPr>
      <t xml:space="preserve"> → classify as </t>
    </r>
    <r>
      <rPr>
        <b/>
        <sz val="12"/>
        <color rgb="FF000000"/>
        <rFont val="Calibri"/>
        <family val="2"/>
      </rPr>
      <t xml:space="preserve">Standard Price </t>
    </r>
  </si>
  <si>
    <r>
      <t xml:space="preserve">Use text functions to extract information from the </t>
    </r>
    <r>
      <rPr>
        <b/>
        <sz val="12"/>
        <color rgb="FF000000"/>
        <rFont val="Calibri"/>
        <family val="2"/>
      </rPr>
      <t>Product ID</t>
    </r>
    <r>
      <rPr>
        <sz val="12"/>
        <color rgb="FF000000"/>
        <rFont val="Calibri"/>
        <family val="2"/>
      </rPr>
      <t xml:space="preserve"> column.</t>
    </r>
  </si>
  <si>
    <r>
      <t xml:space="preserve">Create a new column named </t>
    </r>
    <r>
      <rPr>
        <b/>
        <sz val="12"/>
        <color rgb="FF000000"/>
        <rFont val="Calibri"/>
        <family val="2"/>
      </rPr>
      <t>Day</t>
    </r>
    <r>
      <rPr>
        <sz val="12"/>
        <color rgb="FF000000"/>
        <rFont val="Calibri"/>
        <family val="2"/>
      </rPr>
      <t xml:space="preserve"> with the first 2 characters of each 'Product ID' using the LEFT function.</t>
    </r>
  </si>
  <si>
    <r>
      <t xml:space="preserve"> Calculate the </t>
    </r>
    <r>
      <rPr>
        <b/>
        <sz val="12"/>
        <color rgb="FF000000"/>
        <rFont val="Calibri"/>
        <family val="2"/>
      </rPr>
      <t>average price of the products</t>
    </r>
    <r>
      <rPr>
        <sz val="12"/>
        <color rgb="FF000000"/>
        <rFont val="Calibri"/>
        <family val="2"/>
      </rPr>
      <t>.</t>
    </r>
  </si>
  <si>
    <r>
      <t xml:space="preserve"> Identify the </t>
    </r>
    <r>
      <rPr>
        <b/>
        <sz val="12"/>
        <color rgb="FF000000"/>
        <rFont val="Calibri"/>
        <family val="2"/>
      </rPr>
      <t>minimum price</t>
    </r>
    <r>
      <rPr>
        <sz val="12"/>
        <color rgb="FF000000"/>
        <rFont val="Calibri"/>
        <family val="2"/>
      </rPr>
      <t xml:space="preserve"> among all products.</t>
    </r>
  </si>
  <si>
    <r>
      <t xml:space="preserve">Create a new column named </t>
    </r>
    <r>
      <rPr>
        <b/>
        <sz val="11"/>
        <color rgb="FF000000"/>
        <rFont val="Calibri"/>
        <family val="2"/>
      </rPr>
      <t>Country Code</t>
    </r>
    <r>
      <rPr>
        <sz val="11"/>
        <color rgb="FF000000"/>
        <rFont val="Calibri"/>
        <family val="2"/>
      </rPr>
      <t xml:space="preserve"> by extracting the last 2 characters from the</t>
    </r>
    <r>
      <rPr>
        <b/>
        <sz val="11"/>
        <color rgb="FF000000"/>
        <rFont val="Calibri"/>
        <family val="2"/>
      </rPr>
      <t xml:space="preserve"> 'Product ID'</t>
    </r>
    <r>
      <rPr>
        <sz val="11"/>
        <color rgb="FF000000"/>
        <rFont val="Calibri"/>
        <family val="2"/>
      </rPr>
      <t xml:space="preserve"> column using the </t>
    </r>
    <r>
      <rPr>
        <b/>
        <sz val="11"/>
        <color rgb="FF000000"/>
        <rFont val="Calibri"/>
        <family val="2"/>
      </rPr>
      <t>RIGHT function</t>
    </r>
    <r>
      <rPr>
        <sz val="11"/>
        <color rgb="FF000000"/>
        <rFont val="Calibri"/>
        <family val="2"/>
      </rPr>
      <t xml:space="preserve">. </t>
    </r>
  </si>
  <si>
    <r>
      <t xml:space="preserve">Create a new column named </t>
    </r>
    <r>
      <rPr>
        <b/>
        <sz val="11"/>
        <color rgb="FF000000"/>
        <rFont val="Calibri"/>
        <family val="2"/>
      </rPr>
      <t xml:space="preserve">Month </t>
    </r>
    <r>
      <rPr>
        <sz val="11"/>
        <color rgb="FF000000"/>
        <rFont val="Calibri"/>
        <family val="2"/>
      </rPr>
      <t xml:space="preserve">by extracting the 4th to 6th characters from the </t>
    </r>
    <r>
      <rPr>
        <b/>
        <sz val="11"/>
        <color rgb="FF000000"/>
        <rFont val="Calibri"/>
        <family val="2"/>
      </rPr>
      <t>'Product ID'</t>
    </r>
    <r>
      <rPr>
        <sz val="11"/>
        <color rgb="FF000000"/>
        <rFont val="Calibri"/>
        <family val="2"/>
      </rPr>
      <t xml:space="preserve"> column using the </t>
    </r>
    <r>
      <rPr>
        <b/>
        <sz val="11"/>
        <color rgb="FF000000"/>
        <rFont val="Calibri"/>
        <family val="2"/>
      </rPr>
      <t>MID function</t>
    </r>
    <r>
      <rPr>
        <sz val="11"/>
        <color rgb="FF000000"/>
        <rFont val="Calibri"/>
        <family val="2"/>
      </rPr>
      <t xml:space="preserve">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</si>
</sst>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8" x14ac:knownFonts="1">
    <font>
      <sz val="10"/>
      <color rgb="FF000000"/>
      <name val="Arial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" fontId="1" fillId="5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rgb="FF4DD0E1"/>
          <bgColor rgb="FF4DD0E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D5E271-073D-4A19-9397-81AD7407ABA8}" name="Table1" displayName="Table1" ref="A1:J35" totalsRowShown="0" headerRowDxfId="14" dataDxfId="12" headerRowBorderDxfId="13" tableBorderDxfId="11" totalsRowBorderDxfId="10">
  <autoFilter ref="A1:J35" xr:uid="{6CD5E271-073D-4A19-9397-81AD7407ABA8}"/>
  <tableColumns count="10">
    <tableColumn id="1" xr3:uid="{27F79E77-1DBC-41C1-9AB2-ED4FCFB7D0F6}" name="Product ID" dataDxfId="9"/>
    <tableColumn id="2" xr3:uid="{8D46A96B-E40A-4391-89F9-54D16452C977}" name="Product Name" dataDxfId="8"/>
    <tableColumn id="3" xr3:uid="{6B51D2DF-54A7-4588-A431-92C7914980D5}" name="Brand Name" dataDxfId="7"/>
    <tableColumn id="4" xr3:uid="{A3AC3AA3-5D7A-43E9-9C53-01DE01D498BE}" name="Price ($)" dataDxfId="6"/>
    <tableColumn id="5" xr3:uid="{D6D691B9-B996-4267-B634-551C4874A2DB}" name="Quantity" dataDxfId="5"/>
    <tableColumn id="6" xr3:uid="{8C70ECAB-D284-4E25-B987-A45076FFF4F2}" name="Category" dataDxfId="4"/>
    <tableColumn id="7" xr3:uid="{9B8EF08C-DB77-4A48-B666-244B6D4D6979}" name="Price Range" dataDxfId="3">
      <calculatedColumnFormula>IF(D2&gt;=500,"High Price","Standard Price")</calculatedColumnFormula>
    </tableColumn>
    <tableColumn id="8" xr3:uid="{63C02F34-E43F-403D-AC76-AE60E950E0A4}" name="Day" dataDxfId="2">
      <calculatedColumnFormula>LEFT(A2,2)</calculatedColumnFormula>
    </tableColumn>
    <tableColumn id="9" xr3:uid="{D4C0EC64-4307-4E77-A24F-596349080AAB}" name=" Country Code" dataDxfId="1">
      <calculatedColumnFormula>RIGHT(A2,2)</calculatedColumnFormula>
    </tableColumn>
    <tableColumn id="10" xr3:uid="{FD608697-3262-4E1C-87E0-394C08E1714E}" name="Month" dataDxfId="0">
      <calculatedColumnFormula>MID(A2,4,3)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00"/>
  <sheetViews>
    <sheetView tabSelected="1" topLeftCell="C1" zoomScaleNormal="100" workbookViewId="0">
      <selection activeCell="K33" sqref="K33"/>
    </sheetView>
  </sheetViews>
  <sheetFormatPr defaultColWidth="12.6640625" defaultRowHeight="15" customHeight="1" x14ac:dyDescent="0.25"/>
  <cols>
    <col min="1" max="1" width="12" customWidth="1"/>
    <col min="2" max="2" width="13.5546875" customWidth="1"/>
    <col min="3" max="3" width="11.5546875" customWidth="1"/>
    <col min="4" max="4" width="9.33203125" customWidth="1"/>
    <col min="5" max="5" width="8" customWidth="1"/>
    <col min="7" max="7" width="16.6640625" bestFit="1" customWidth="1"/>
    <col min="8" max="8" width="6.109375" customWidth="1"/>
    <col min="9" max="9" width="11.6640625" customWidth="1"/>
    <col min="10" max="10" width="8.44140625" customWidth="1"/>
    <col min="11" max="11" width="119" bestFit="1" customWidth="1"/>
    <col min="12" max="12" width="34.77734375" customWidth="1"/>
  </cols>
  <sheetData>
    <row r="1" spans="1:12" ht="15.75" customHeight="1" x14ac:dyDescent="0.2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98</v>
      </c>
      <c r="H1" s="12" t="s">
        <v>111</v>
      </c>
      <c r="I1" s="12" t="s">
        <v>112</v>
      </c>
      <c r="J1" s="13" t="s">
        <v>113</v>
      </c>
      <c r="K1" s="4" t="s">
        <v>109</v>
      </c>
      <c r="L1" s="1" t="s">
        <v>108</v>
      </c>
    </row>
    <row r="2" spans="1:12" ht="15.75" customHeight="1" x14ac:dyDescent="0.25">
      <c r="A2" s="8" t="s">
        <v>6</v>
      </c>
      <c r="B2" s="5" t="s">
        <v>7</v>
      </c>
      <c r="C2" s="5" t="s">
        <v>8</v>
      </c>
      <c r="D2" s="5">
        <v>1000</v>
      </c>
      <c r="E2" s="5">
        <v>30</v>
      </c>
      <c r="F2" s="5" t="s">
        <v>9</v>
      </c>
      <c r="G2" s="6" t="str">
        <f t="shared" ref="G2:G35" si="0">IF(D2&gt;=500,"High Price","Standard Price")</f>
        <v>High Price</v>
      </c>
      <c r="H2" s="6" t="str">
        <f>LEFT(A2,2)</f>
        <v>28</v>
      </c>
      <c r="I2" s="6" t="str">
        <f>RIGHT(A2,2)</f>
        <v>US</v>
      </c>
      <c r="J2" s="10" t="str">
        <f>MID(A2,4,3)</f>
        <v>JAN</v>
      </c>
      <c r="K2" s="18" t="s">
        <v>117</v>
      </c>
      <c r="L2" s="2"/>
    </row>
    <row r="3" spans="1:12" ht="15.75" customHeight="1" x14ac:dyDescent="0.25">
      <c r="A3" s="9" t="s">
        <v>10</v>
      </c>
      <c r="B3" s="7" t="s">
        <v>11</v>
      </c>
      <c r="C3" s="7" t="s">
        <v>12</v>
      </c>
      <c r="D3" s="7">
        <v>80</v>
      </c>
      <c r="E3" s="7">
        <v>15</v>
      </c>
      <c r="F3" s="7" t="s">
        <v>13</v>
      </c>
      <c r="G3" s="6" t="str">
        <f t="shared" si="0"/>
        <v>Standard Price</v>
      </c>
      <c r="H3" s="6" t="str">
        <f t="shared" ref="H3:H35" si="1">LEFT(A3,2)</f>
        <v>15</v>
      </c>
      <c r="I3" s="6" t="str">
        <f t="shared" ref="I3:I35" si="2">RIGHT(A3,2)</f>
        <v>US</v>
      </c>
      <c r="J3" s="10" t="str">
        <f t="shared" ref="J3:J35" si="3">MID(A3,4,3)</f>
        <v>FEB</v>
      </c>
      <c r="K3" s="19">
        <f>SUM(D2:D35)</f>
        <v>10100</v>
      </c>
      <c r="L3" s="3" t="s">
        <v>93</v>
      </c>
    </row>
    <row r="4" spans="1:12" ht="15.75" customHeight="1" x14ac:dyDescent="0.25">
      <c r="A4" s="8" t="s">
        <v>14</v>
      </c>
      <c r="B4" s="5" t="s">
        <v>15</v>
      </c>
      <c r="C4" s="5" t="s">
        <v>16</v>
      </c>
      <c r="D4" s="5">
        <v>130</v>
      </c>
      <c r="E4" s="5">
        <v>40</v>
      </c>
      <c r="F4" s="5" t="s">
        <v>17</v>
      </c>
      <c r="G4" s="6" t="str">
        <f t="shared" si="0"/>
        <v>Standard Price</v>
      </c>
      <c r="H4" s="6" t="str">
        <f t="shared" si="1"/>
        <v>03</v>
      </c>
      <c r="I4" s="6" t="str">
        <f t="shared" si="2"/>
        <v>US</v>
      </c>
      <c r="J4" s="10" t="str">
        <f t="shared" si="3"/>
        <v>MAR</v>
      </c>
      <c r="K4" s="18" t="s">
        <v>94</v>
      </c>
      <c r="L4" s="2"/>
    </row>
    <row r="5" spans="1:12" ht="15.75" customHeight="1" x14ac:dyDescent="0.25">
      <c r="A5" s="9" t="s">
        <v>18</v>
      </c>
      <c r="B5" s="7" t="s">
        <v>19</v>
      </c>
      <c r="C5" s="7" t="s">
        <v>20</v>
      </c>
      <c r="D5" s="7">
        <v>900</v>
      </c>
      <c r="E5" s="7">
        <v>25</v>
      </c>
      <c r="F5" s="7" t="s">
        <v>9</v>
      </c>
      <c r="G5" s="6" t="str">
        <f t="shared" si="0"/>
        <v>High Price</v>
      </c>
      <c r="H5" s="6" t="str">
        <f t="shared" si="1"/>
        <v>11</v>
      </c>
      <c r="I5" s="6" t="str">
        <f t="shared" si="2"/>
        <v>US</v>
      </c>
      <c r="J5" s="10" t="str">
        <f t="shared" si="3"/>
        <v>APR</v>
      </c>
      <c r="K5" s="20">
        <f>COUNTA(B2:B35)</f>
        <v>34</v>
      </c>
      <c r="L5" s="3" t="s">
        <v>95</v>
      </c>
    </row>
    <row r="6" spans="1:12" ht="15.75" customHeight="1" x14ac:dyDescent="0.25">
      <c r="A6" s="8" t="s">
        <v>21</v>
      </c>
      <c r="B6" s="5" t="s">
        <v>22</v>
      </c>
      <c r="C6" s="5" t="s">
        <v>23</v>
      </c>
      <c r="D6" s="5">
        <v>70</v>
      </c>
      <c r="E6" s="5">
        <v>20</v>
      </c>
      <c r="F6" s="5" t="s">
        <v>24</v>
      </c>
      <c r="G6" s="6" t="str">
        <f t="shared" si="0"/>
        <v>Standard Price</v>
      </c>
      <c r="H6" s="6" t="str">
        <f t="shared" si="1"/>
        <v>22</v>
      </c>
      <c r="I6" s="6" t="str">
        <f t="shared" si="2"/>
        <v>US</v>
      </c>
      <c r="J6" s="10" t="str">
        <f t="shared" si="3"/>
        <v>MAY</v>
      </c>
      <c r="K6" s="18" t="s">
        <v>124</v>
      </c>
      <c r="L6" s="2"/>
    </row>
    <row r="7" spans="1:12" ht="15.75" customHeight="1" x14ac:dyDescent="0.25">
      <c r="A7" s="9" t="s">
        <v>25</v>
      </c>
      <c r="B7" s="7" t="s">
        <v>26</v>
      </c>
      <c r="C7" s="7" t="s">
        <v>27</v>
      </c>
      <c r="D7" s="7">
        <v>200</v>
      </c>
      <c r="E7" s="7">
        <v>45</v>
      </c>
      <c r="F7" s="7" t="s">
        <v>9</v>
      </c>
      <c r="G7" s="6" t="str">
        <f t="shared" si="0"/>
        <v>Standard Price</v>
      </c>
      <c r="H7" s="6" t="str">
        <f t="shared" si="1"/>
        <v>07</v>
      </c>
      <c r="I7" s="6" t="str">
        <f t="shared" si="2"/>
        <v>UK</v>
      </c>
      <c r="J7" s="10" t="str">
        <f t="shared" si="3"/>
        <v>JUN</v>
      </c>
      <c r="K7" s="21">
        <f>AVERAGE(D2:D35)</f>
        <v>297.05882352941177</v>
      </c>
      <c r="L7" s="3" t="s">
        <v>96</v>
      </c>
    </row>
    <row r="8" spans="1:12" ht="15.75" customHeight="1" x14ac:dyDescent="0.25">
      <c r="A8" s="8" t="s">
        <v>28</v>
      </c>
      <c r="B8" s="5" t="s">
        <v>29</v>
      </c>
      <c r="C8" s="5" t="s">
        <v>30</v>
      </c>
      <c r="D8" s="5">
        <v>30</v>
      </c>
      <c r="E8" s="5">
        <v>5</v>
      </c>
      <c r="F8" s="5" t="s">
        <v>13</v>
      </c>
      <c r="G8" s="6" t="str">
        <f t="shared" si="0"/>
        <v>Standard Price</v>
      </c>
      <c r="H8" s="6" t="str">
        <f t="shared" si="1"/>
        <v>19</v>
      </c>
      <c r="I8" s="6" t="str">
        <f t="shared" si="2"/>
        <v>UK</v>
      </c>
      <c r="J8" s="10" t="str">
        <f t="shared" si="3"/>
        <v>JUL</v>
      </c>
      <c r="K8" s="18" t="s">
        <v>125</v>
      </c>
      <c r="L8" s="2"/>
    </row>
    <row r="9" spans="1:12" ht="15.75" customHeight="1" x14ac:dyDescent="0.25">
      <c r="A9" s="9" t="s">
        <v>31</v>
      </c>
      <c r="B9" s="7" t="s">
        <v>32</v>
      </c>
      <c r="C9" s="7" t="s">
        <v>33</v>
      </c>
      <c r="D9" s="7">
        <v>90</v>
      </c>
      <c r="E9" s="7">
        <v>35</v>
      </c>
      <c r="F9" s="7" t="s">
        <v>17</v>
      </c>
      <c r="G9" s="6" t="str">
        <f t="shared" si="0"/>
        <v>Standard Price</v>
      </c>
      <c r="H9" s="6" t="str">
        <f t="shared" si="1"/>
        <v>23</v>
      </c>
      <c r="I9" s="6" t="str">
        <f t="shared" si="2"/>
        <v>UK</v>
      </c>
      <c r="J9" s="10" t="str">
        <f t="shared" si="3"/>
        <v>AUG</v>
      </c>
      <c r="K9" s="20">
        <f>MIN(E2:E35)</f>
        <v>5</v>
      </c>
      <c r="L9" s="3" t="s">
        <v>101</v>
      </c>
    </row>
    <row r="10" spans="1:12" ht="15.75" customHeight="1" x14ac:dyDescent="0.25">
      <c r="A10" s="8" t="s">
        <v>34</v>
      </c>
      <c r="B10" s="5" t="s">
        <v>35</v>
      </c>
      <c r="C10" s="5" t="s">
        <v>36</v>
      </c>
      <c r="D10" s="5">
        <v>500</v>
      </c>
      <c r="E10" s="5">
        <v>50</v>
      </c>
      <c r="F10" s="5" t="s">
        <v>9</v>
      </c>
      <c r="G10" s="6" t="str">
        <f t="shared" si="0"/>
        <v>High Price</v>
      </c>
      <c r="H10" s="6" t="str">
        <f t="shared" si="1"/>
        <v>05</v>
      </c>
      <c r="I10" s="6" t="str">
        <f t="shared" si="2"/>
        <v>UK</v>
      </c>
      <c r="J10" s="10" t="str">
        <f t="shared" si="3"/>
        <v>SEP</v>
      </c>
      <c r="K10" s="18" t="s">
        <v>118</v>
      </c>
      <c r="L10" s="2"/>
    </row>
    <row r="11" spans="1:12" ht="15.75" customHeight="1" x14ac:dyDescent="0.25">
      <c r="A11" s="9" t="s">
        <v>37</v>
      </c>
      <c r="B11" s="7" t="s">
        <v>38</v>
      </c>
      <c r="C11" s="7" t="s">
        <v>39</v>
      </c>
      <c r="D11" s="7">
        <v>130</v>
      </c>
      <c r="E11" s="7">
        <v>10</v>
      </c>
      <c r="F11" s="7" t="s">
        <v>24</v>
      </c>
      <c r="G11" s="6" t="str">
        <f t="shared" si="0"/>
        <v>Standard Price</v>
      </c>
      <c r="H11" s="6" t="str">
        <f t="shared" si="1"/>
        <v>14</v>
      </c>
      <c r="I11" s="6" t="str">
        <f t="shared" si="2"/>
        <v>UK</v>
      </c>
      <c r="J11" s="10" t="str">
        <f t="shared" si="3"/>
        <v>OCT</v>
      </c>
      <c r="K11" s="20">
        <f>MAX(E2:E35)</f>
        <v>50</v>
      </c>
      <c r="L11" s="3" t="s">
        <v>100</v>
      </c>
    </row>
    <row r="12" spans="1:12" ht="15.75" customHeight="1" x14ac:dyDescent="0.25">
      <c r="A12" s="8" t="s">
        <v>40</v>
      </c>
      <c r="B12" s="5" t="s">
        <v>7</v>
      </c>
      <c r="C12" s="5" t="s">
        <v>41</v>
      </c>
      <c r="D12" s="5">
        <v>950</v>
      </c>
      <c r="E12" s="5">
        <v>25</v>
      </c>
      <c r="F12" s="5" t="s">
        <v>9</v>
      </c>
      <c r="G12" s="6" t="str">
        <f t="shared" si="0"/>
        <v>High Price</v>
      </c>
      <c r="H12" s="6" t="str">
        <f t="shared" si="1"/>
        <v>17</v>
      </c>
      <c r="I12" s="6" t="str">
        <f t="shared" si="2"/>
        <v>IN</v>
      </c>
      <c r="J12" s="10" t="str">
        <f t="shared" si="3"/>
        <v>JUN</v>
      </c>
      <c r="K12" s="18" t="s">
        <v>97</v>
      </c>
      <c r="L12" s="2"/>
    </row>
    <row r="13" spans="1:12" ht="15.75" customHeight="1" x14ac:dyDescent="0.25">
      <c r="A13" s="9" t="s">
        <v>42</v>
      </c>
      <c r="B13" s="7" t="s">
        <v>11</v>
      </c>
      <c r="C13" s="7" t="s">
        <v>30</v>
      </c>
      <c r="D13" s="7">
        <v>90</v>
      </c>
      <c r="E13" s="7">
        <v>40</v>
      </c>
      <c r="F13" s="7" t="s">
        <v>13</v>
      </c>
      <c r="G13" s="6" t="str">
        <f t="shared" si="0"/>
        <v>Standard Price</v>
      </c>
      <c r="H13" s="6" t="str">
        <f t="shared" si="1"/>
        <v>25</v>
      </c>
      <c r="I13" s="6" t="str">
        <f t="shared" si="2"/>
        <v>AU</v>
      </c>
      <c r="J13" s="10" t="str">
        <f t="shared" si="3"/>
        <v>NOV</v>
      </c>
      <c r="K13" s="18"/>
      <c r="L13" s="3" t="s">
        <v>99</v>
      </c>
    </row>
    <row r="14" spans="1:12" ht="15.75" customHeight="1" x14ac:dyDescent="0.25">
      <c r="A14" s="8" t="s">
        <v>43</v>
      </c>
      <c r="B14" s="5" t="s">
        <v>15</v>
      </c>
      <c r="C14" s="5" t="s">
        <v>44</v>
      </c>
      <c r="D14" s="5">
        <v>120</v>
      </c>
      <c r="E14" s="5">
        <v>35</v>
      </c>
      <c r="F14" s="5" t="s">
        <v>17</v>
      </c>
      <c r="G14" s="6" t="str">
        <f t="shared" si="0"/>
        <v>Standard Price</v>
      </c>
      <c r="H14" s="6" t="str">
        <f t="shared" si="1"/>
        <v>08</v>
      </c>
      <c r="I14" s="6" t="str">
        <f t="shared" si="2"/>
        <v>DE</v>
      </c>
      <c r="J14" s="10" t="str">
        <f t="shared" si="3"/>
        <v>DEC</v>
      </c>
      <c r="K14" s="18" t="s">
        <v>119</v>
      </c>
      <c r="L14" s="2"/>
    </row>
    <row r="15" spans="1:12" ht="15.75" customHeight="1" x14ac:dyDescent="0.25">
      <c r="A15" s="9" t="s">
        <v>45</v>
      </c>
      <c r="B15" s="7" t="s">
        <v>46</v>
      </c>
      <c r="C15" s="7" t="s">
        <v>47</v>
      </c>
      <c r="D15" s="7">
        <v>150</v>
      </c>
      <c r="E15" s="7">
        <v>15</v>
      </c>
      <c r="F15" s="7" t="s">
        <v>9</v>
      </c>
      <c r="G15" s="6" t="str">
        <f t="shared" si="0"/>
        <v>Standard Price</v>
      </c>
      <c r="H15" s="6" t="str">
        <f t="shared" si="1"/>
        <v>18</v>
      </c>
      <c r="I15" s="6" t="str">
        <f t="shared" si="2"/>
        <v>CA</v>
      </c>
      <c r="J15" s="10" t="str">
        <f t="shared" si="3"/>
        <v>FEB</v>
      </c>
      <c r="K15" s="18" t="s">
        <v>120</v>
      </c>
      <c r="L15" s="2"/>
    </row>
    <row r="16" spans="1:12" ht="15.75" customHeight="1" x14ac:dyDescent="0.25">
      <c r="A16" s="8" t="s">
        <v>48</v>
      </c>
      <c r="B16" s="5" t="s">
        <v>26</v>
      </c>
      <c r="C16" s="5" t="s">
        <v>49</v>
      </c>
      <c r="D16" s="5">
        <v>250</v>
      </c>
      <c r="E16" s="5">
        <v>20</v>
      </c>
      <c r="F16" s="5" t="s">
        <v>9</v>
      </c>
      <c r="G16" s="6" t="str">
        <f t="shared" si="0"/>
        <v>Standard Price</v>
      </c>
      <c r="H16" s="6" t="str">
        <f t="shared" si="1"/>
        <v>16</v>
      </c>
      <c r="I16" s="6" t="str">
        <f t="shared" si="2"/>
        <v>ES</v>
      </c>
      <c r="J16" s="10" t="str">
        <f t="shared" si="3"/>
        <v>APR</v>
      </c>
      <c r="K16" s="20" t="str">
        <f>IF(D2&gt;=500,"High Price")</f>
        <v>High Price</v>
      </c>
      <c r="L16" s="3" t="s">
        <v>104</v>
      </c>
    </row>
    <row r="17" spans="1:12" ht="15.75" customHeight="1" x14ac:dyDescent="0.25">
      <c r="A17" s="9" t="s">
        <v>50</v>
      </c>
      <c r="B17" s="7" t="s">
        <v>51</v>
      </c>
      <c r="C17" s="7" t="s">
        <v>52</v>
      </c>
      <c r="D17" s="7">
        <v>50</v>
      </c>
      <c r="E17" s="7">
        <v>35</v>
      </c>
      <c r="F17" s="7" t="s">
        <v>53</v>
      </c>
      <c r="G17" s="6" t="str">
        <f t="shared" si="0"/>
        <v>Standard Price</v>
      </c>
      <c r="H17" s="6" t="str">
        <f t="shared" si="1"/>
        <v>21</v>
      </c>
      <c r="I17" s="6" t="str">
        <f t="shared" si="2"/>
        <v>CA</v>
      </c>
      <c r="J17" s="10" t="str">
        <f t="shared" si="3"/>
        <v>AUG</v>
      </c>
      <c r="K17" s="18" t="s">
        <v>121</v>
      </c>
      <c r="L17" s="2"/>
    </row>
    <row r="18" spans="1:12" ht="15.75" customHeight="1" x14ac:dyDescent="0.25">
      <c r="A18" s="8" t="s">
        <v>54</v>
      </c>
      <c r="B18" s="5" t="s">
        <v>46</v>
      </c>
      <c r="C18" s="5" t="s">
        <v>55</v>
      </c>
      <c r="D18" s="5">
        <v>160</v>
      </c>
      <c r="E18" s="5">
        <v>15</v>
      </c>
      <c r="F18" s="5" t="s">
        <v>9</v>
      </c>
      <c r="G18" s="6" t="str">
        <f t="shared" si="0"/>
        <v>Standard Price</v>
      </c>
      <c r="H18" s="6" t="str">
        <f t="shared" si="1"/>
        <v>20</v>
      </c>
      <c r="I18" s="6" t="str">
        <f t="shared" si="2"/>
        <v>CN</v>
      </c>
      <c r="J18" s="10" t="str">
        <f t="shared" si="3"/>
        <v>AUG</v>
      </c>
      <c r="K18" s="20" t="str">
        <f>IF(D2&gt;=500,"Standard Price")</f>
        <v>Standard Price</v>
      </c>
      <c r="L18" s="3" t="s">
        <v>105</v>
      </c>
    </row>
    <row r="19" spans="1:12" ht="15.75" customHeight="1" x14ac:dyDescent="0.25">
      <c r="A19" s="9" t="s">
        <v>56</v>
      </c>
      <c r="B19" s="7" t="s">
        <v>7</v>
      </c>
      <c r="C19" s="7" t="s">
        <v>57</v>
      </c>
      <c r="D19" s="7">
        <v>980</v>
      </c>
      <c r="E19" s="7">
        <v>10</v>
      </c>
      <c r="F19" s="7" t="s">
        <v>9</v>
      </c>
      <c r="G19" s="6" t="str">
        <f t="shared" si="0"/>
        <v>High Price</v>
      </c>
      <c r="H19" s="6" t="str">
        <f t="shared" si="1"/>
        <v>27</v>
      </c>
      <c r="I19" s="6" t="str">
        <f t="shared" si="2"/>
        <v>IT</v>
      </c>
      <c r="J19" s="10" t="str">
        <f t="shared" si="3"/>
        <v>JAN</v>
      </c>
      <c r="K19" s="18" t="s">
        <v>102</v>
      </c>
      <c r="L19" s="2"/>
    </row>
    <row r="20" spans="1:12" ht="15.75" customHeight="1" x14ac:dyDescent="0.25">
      <c r="A20" s="8" t="s">
        <v>58</v>
      </c>
      <c r="B20" s="5" t="s">
        <v>59</v>
      </c>
      <c r="C20" s="5" t="s">
        <v>60</v>
      </c>
      <c r="D20" s="5">
        <v>150</v>
      </c>
      <c r="E20" s="5">
        <v>15</v>
      </c>
      <c r="F20" s="5" t="s">
        <v>13</v>
      </c>
      <c r="G20" s="6" t="str">
        <f t="shared" si="0"/>
        <v>Standard Price</v>
      </c>
      <c r="H20" s="6" t="str">
        <f t="shared" si="1"/>
        <v>01</v>
      </c>
      <c r="I20" s="6" t="str">
        <f t="shared" si="2"/>
        <v>UK</v>
      </c>
      <c r="J20" s="10" t="str">
        <f t="shared" si="3"/>
        <v>MAR</v>
      </c>
      <c r="K20" s="20">
        <f>SUMIF(F2:F35,"Electronics",D2:D35)</f>
        <v>8050</v>
      </c>
      <c r="L20" s="3" t="s">
        <v>106</v>
      </c>
    </row>
    <row r="21" spans="1:12" ht="15.75" customHeight="1" x14ac:dyDescent="0.25">
      <c r="A21" s="9" t="s">
        <v>61</v>
      </c>
      <c r="B21" s="7" t="s">
        <v>62</v>
      </c>
      <c r="C21" s="7" t="s">
        <v>63</v>
      </c>
      <c r="D21" s="7">
        <v>200</v>
      </c>
      <c r="E21" s="7">
        <v>10</v>
      </c>
      <c r="F21" s="7" t="s">
        <v>24</v>
      </c>
      <c r="G21" s="6" t="str">
        <f t="shared" si="0"/>
        <v>Standard Price</v>
      </c>
      <c r="H21" s="6" t="str">
        <f t="shared" si="1"/>
        <v>14</v>
      </c>
      <c r="I21" s="6" t="str">
        <f t="shared" si="2"/>
        <v>US</v>
      </c>
      <c r="J21" s="10" t="str">
        <f t="shared" si="3"/>
        <v>AUG</v>
      </c>
      <c r="K21" s="18" t="s">
        <v>103</v>
      </c>
      <c r="L21" s="2"/>
    </row>
    <row r="22" spans="1:12" ht="15.75" customHeight="1" x14ac:dyDescent="0.25">
      <c r="A22" s="8" t="s">
        <v>64</v>
      </c>
      <c r="B22" s="5" t="s">
        <v>65</v>
      </c>
      <c r="C22" s="5" t="s">
        <v>66</v>
      </c>
      <c r="D22" s="5">
        <v>700</v>
      </c>
      <c r="E22" s="5">
        <v>50</v>
      </c>
      <c r="F22" s="5" t="s">
        <v>9</v>
      </c>
      <c r="G22" s="6" t="str">
        <f t="shared" si="0"/>
        <v>High Price</v>
      </c>
      <c r="H22" s="6" t="str">
        <f t="shared" si="1"/>
        <v>14</v>
      </c>
      <c r="I22" s="6" t="str">
        <f t="shared" si="2"/>
        <v>RU</v>
      </c>
      <c r="J22" s="10" t="str">
        <f t="shared" si="3"/>
        <v>MAY</v>
      </c>
      <c r="K22" s="20">
        <f>COUNTIF(D2:D35,"&lt;100")</f>
        <v>11</v>
      </c>
      <c r="L22" s="3" t="s">
        <v>107</v>
      </c>
    </row>
    <row r="23" spans="1:12" ht="15.75" customHeight="1" x14ac:dyDescent="0.25">
      <c r="A23" s="9" t="s">
        <v>67</v>
      </c>
      <c r="B23" s="7" t="s">
        <v>68</v>
      </c>
      <c r="C23" s="7" t="s">
        <v>69</v>
      </c>
      <c r="D23" s="7">
        <v>80</v>
      </c>
      <c r="E23" s="7">
        <v>20</v>
      </c>
      <c r="F23" s="7" t="s">
        <v>17</v>
      </c>
      <c r="G23" s="6" t="str">
        <f t="shared" si="0"/>
        <v>Standard Price</v>
      </c>
      <c r="H23" s="6" t="str">
        <f t="shared" si="1"/>
        <v>09</v>
      </c>
      <c r="I23" s="6" t="str">
        <f t="shared" si="2"/>
        <v>CA</v>
      </c>
      <c r="J23" s="10" t="str">
        <f t="shared" si="3"/>
        <v>JAN</v>
      </c>
      <c r="K23" s="18" t="s">
        <v>122</v>
      </c>
      <c r="L23" s="2"/>
    </row>
    <row r="24" spans="1:12" ht="15.75" customHeight="1" x14ac:dyDescent="0.25">
      <c r="A24" s="8" t="s">
        <v>70</v>
      </c>
      <c r="B24" s="5" t="s">
        <v>71</v>
      </c>
      <c r="C24" s="5" t="s">
        <v>72</v>
      </c>
      <c r="D24" s="5">
        <v>150</v>
      </c>
      <c r="E24" s="5">
        <v>30</v>
      </c>
      <c r="F24" s="5" t="s">
        <v>9</v>
      </c>
      <c r="G24" s="6" t="str">
        <f t="shared" si="0"/>
        <v>Standard Price</v>
      </c>
      <c r="H24" s="6" t="str">
        <f t="shared" si="1"/>
        <v>19</v>
      </c>
      <c r="I24" s="6" t="str">
        <f t="shared" si="2"/>
        <v>BR</v>
      </c>
      <c r="J24" s="10" t="str">
        <f t="shared" si="3"/>
        <v>JUL</v>
      </c>
      <c r="K24" s="18" t="s">
        <v>110</v>
      </c>
      <c r="L24" s="2"/>
    </row>
    <row r="25" spans="1:12" ht="15.75" customHeight="1" x14ac:dyDescent="0.25">
      <c r="A25" s="9" t="s">
        <v>50</v>
      </c>
      <c r="B25" s="7" t="s">
        <v>51</v>
      </c>
      <c r="C25" s="7" t="s">
        <v>52</v>
      </c>
      <c r="D25" s="7">
        <v>50</v>
      </c>
      <c r="E25" s="7">
        <v>35</v>
      </c>
      <c r="F25" s="7" t="s">
        <v>53</v>
      </c>
      <c r="G25" s="6" t="str">
        <f t="shared" si="0"/>
        <v>Standard Price</v>
      </c>
      <c r="H25" s="6" t="str">
        <f t="shared" si="1"/>
        <v>21</v>
      </c>
      <c r="I25" s="6" t="str">
        <f t="shared" si="2"/>
        <v>CA</v>
      </c>
      <c r="J25" s="10" t="str">
        <f t="shared" si="3"/>
        <v>AUG</v>
      </c>
      <c r="K25" s="18" t="s">
        <v>123</v>
      </c>
      <c r="L25" s="3" t="s">
        <v>115</v>
      </c>
    </row>
    <row r="26" spans="1:12" ht="15.75" customHeight="1" x14ac:dyDescent="0.25">
      <c r="A26" s="8" t="s">
        <v>73</v>
      </c>
      <c r="B26" s="5" t="s">
        <v>19</v>
      </c>
      <c r="C26" s="5" t="s">
        <v>74</v>
      </c>
      <c r="D26" s="5">
        <v>800</v>
      </c>
      <c r="E26" s="5">
        <v>45</v>
      </c>
      <c r="F26" s="5" t="s">
        <v>9</v>
      </c>
      <c r="G26" s="6" t="str">
        <f t="shared" si="0"/>
        <v>High Price</v>
      </c>
      <c r="H26" s="6" t="str">
        <f t="shared" si="1"/>
        <v>29</v>
      </c>
      <c r="I26" s="6" t="str">
        <f t="shared" si="2"/>
        <v>CA</v>
      </c>
      <c r="J26" s="10" t="str">
        <f t="shared" si="3"/>
        <v>SEP</v>
      </c>
      <c r="K26" s="18"/>
      <c r="L26" s="2"/>
    </row>
    <row r="27" spans="1:12" ht="15.75" customHeight="1" x14ac:dyDescent="0.25">
      <c r="A27" s="9" t="s">
        <v>75</v>
      </c>
      <c r="B27" s="7" t="s">
        <v>59</v>
      </c>
      <c r="C27" s="7" t="s">
        <v>76</v>
      </c>
      <c r="D27" s="7">
        <v>130</v>
      </c>
      <c r="E27" s="7">
        <v>25</v>
      </c>
      <c r="F27" s="7" t="s">
        <v>13</v>
      </c>
      <c r="G27" s="6" t="str">
        <f t="shared" si="0"/>
        <v>Standard Price</v>
      </c>
      <c r="H27" s="6" t="str">
        <f t="shared" si="1"/>
        <v>03</v>
      </c>
      <c r="I27" s="6" t="str">
        <f t="shared" si="2"/>
        <v>CA</v>
      </c>
      <c r="J27" s="10" t="str">
        <f t="shared" si="3"/>
        <v>JUN</v>
      </c>
      <c r="K27" s="22" t="s">
        <v>126</v>
      </c>
      <c r="L27" s="3" t="s">
        <v>116</v>
      </c>
    </row>
    <row r="28" spans="1:12" ht="15.75" customHeight="1" x14ac:dyDescent="0.25">
      <c r="A28" s="8" t="s">
        <v>77</v>
      </c>
      <c r="B28" s="5" t="s">
        <v>32</v>
      </c>
      <c r="C28" s="5" t="s">
        <v>78</v>
      </c>
      <c r="D28" s="5">
        <v>400</v>
      </c>
      <c r="E28" s="5">
        <v>40</v>
      </c>
      <c r="F28" s="5" t="s">
        <v>17</v>
      </c>
      <c r="G28" s="6" t="str">
        <f t="shared" si="0"/>
        <v>Standard Price</v>
      </c>
      <c r="H28" s="6" t="str">
        <f t="shared" si="1"/>
        <v>11</v>
      </c>
      <c r="I28" s="6" t="str">
        <f t="shared" si="2"/>
        <v>CA</v>
      </c>
      <c r="J28" s="10" t="str">
        <f t="shared" si="3"/>
        <v>JUL</v>
      </c>
      <c r="K28" s="18"/>
      <c r="L28" s="2"/>
    </row>
    <row r="29" spans="1:12" ht="15.75" customHeight="1" x14ac:dyDescent="0.25">
      <c r="A29" s="9" t="s">
        <v>48</v>
      </c>
      <c r="B29" s="7" t="s">
        <v>26</v>
      </c>
      <c r="C29" s="7" t="s">
        <v>49</v>
      </c>
      <c r="D29" s="7">
        <v>230</v>
      </c>
      <c r="E29" s="7">
        <v>20</v>
      </c>
      <c r="F29" s="7" t="s">
        <v>9</v>
      </c>
      <c r="G29" s="6" t="str">
        <f t="shared" si="0"/>
        <v>Standard Price</v>
      </c>
      <c r="H29" s="6" t="str">
        <f t="shared" si="1"/>
        <v>16</v>
      </c>
      <c r="I29" s="6" t="str">
        <f t="shared" si="2"/>
        <v>ES</v>
      </c>
      <c r="J29" s="10" t="str">
        <f t="shared" si="3"/>
        <v>APR</v>
      </c>
      <c r="K29" s="22" t="s">
        <v>127</v>
      </c>
      <c r="L29" s="3" t="s">
        <v>114</v>
      </c>
    </row>
    <row r="30" spans="1:12" ht="15.75" customHeight="1" x14ac:dyDescent="0.25">
      <c r="A30" s="8" t="s">
        <v>79</v>
      </c>
      <c r="B30" s="5" t="s">
        <v>80</v>
      </c>
      <c r="C30" s="5" t="s">
        <v>81</v>
      </c>
      <c r="D30" s="5">
        <v>60</v>
      </c>
      <c r="E30" s="5">
        <v>30</v>
      </c>
      <c r="F30" s="5" t="s">
        <v>13</v>
      </c>
      <c r="G30" s="6" t="str">
        <f t="shared" si="0"/>
        <v>Standard Price</v>
      </c>
      <c r="H30" s="6" t="str">
        <f t="shared" si="1"/>
        <v>07</v>
      </c>
      <c r="I30" s="6" t="str">
        <f t="shared" si="2"/>
        <v>CA</v>
      </c>
      <c r="J30" s="10" t="str">
        <f t="shared" si="3"/>
        <v>MAR</v>
      </c>
      <c r="K30" s="2"/>
      <c r="L30" s="2"/>
    </row>
    <row r="31" spans="1:12" ht="15.75" customHeight="1" x14ac:dyDescent="0.25">
      <c r="A31" s="9" t="s">
        <v>82</v>
      </c>
      <c r="B31" s="7" t="s">
        <v>83</v>
      </c>
      <c r="C31" s="7" t="s">
        <v>84</v>
      </c>
      <c r="D31" s="7">
        <v>40</v>
      </c>
      <c r="E31" s="7">
        <v>10</v>
      </c>
      <c r="F31" s="7" t="s">
        <v>17</v>
      </c>
      <c r="G31" s="6" t="str">
        <f t="shared" si="0"/>
        <v>Standard Price</v>
      </c>
      <c r="H31" s="6" t="str">
        <f t="shared" si="1"/>
        <v>13</v>
      </c>
      <c r="I31" s="6" t="str">
        <f t="shared" si="2"/>
        <v>CA</v>
      </c>
      <c r="J31" s="10" t="str">
        <f t="shared" si="3"/>
        <v>APR</v>
      </c>
      <c r="K31" s="2"/>
      <c r="L31" s="2"/>
    </row>
    <row r="32" spans="1:12" ht="15.75" customHeight="1" x14ac:dyDescent="0.25">
      <c r="A32" s="8" t="s">
        <v>85</v>
      </c>
      <c r="B32" s="5" t="s">
        <v>71</v>
      </c>
      <c r="C32" s="5" t="s">
        <v>86</v>
      </c>
      <c r="D32" s="5">
        <v>130</v>
      </c>
      <c r="E32" s="5">
        <v>5</v>
      </c>
      <c r="F32" s="5" t="s">
        <v>9</v>
      </c>
      <c r="G32" s="6" t="str">
        <f t="shared" si="0"/>
        <v>Standard Price</v>
      </c>
      <c r="H32" s="6" t="str">
        <f t="shared" si="1"/>
        <v>24</v>
      </c>
      <c r="I32" s="6" t="str">
        <f t="shared" si="2"/>
        <v>CA</v>
      </c>
      <c r="J32" s="10" t="str">
        <f t="shared" si="3"/>
        <v>MAY</v>
      </c>
      <c r="K32" s="2"/>
      <c r="L32" s="2"/>
    </row>
    <row r="33" spans="1:12" ht="15.75" customHeight="1" x14ac:dyDescent="0.25">
      <c r="A33" s="9" t="s">
        <v>87</v>
      </c>
      <c r="B33" s="7" t="s">
        <v>88</v>
      </c>
      <c r="C33" s="7" t="s">
        <v>89</v>
      </c>
      <c r="D33" s="7">
        <v>50</v>
      </c>
      <c r="E33" s="7">
        <v>50</v>
      </c>
      <c r="F33" s="7" t="s">
        <v>13</v>
      </c>
      <c r="G33" s="6" t="str">
        <f t="shared" si="0"/>
        <v>Standard Price</v>
      </c>
      <c r="H33" s="6" t="str">
        <f t="shared" si="1"/>
        <v>02</v>
      </c>
      <c r="I33" s="6" t="str">
        <f t="shared" si="2"/>
        <v>CA</v>
      </c>
      <c r="J33" s="10" t="str">
        <f t="shared" si="3"/>
        <v>DEC</v>
      </c>
      <c r="K33" s="2"/>
      <c r="L33" s="2"/>
    </row>
    <row r="34" spans="1:12" ht="15.75" customHeight="1" x14ac:dyDescent="0.25">
      <c r="A34" s="8" t="s">
        <v>40</v>
      </c>
      <c r="B34" s="5" t="s">
        <v>7</v>
      </c>
      <c r="C34" s="5" t="s">
        <v>41</v>
      </c>
      <c r="D34" s="5">
        <v>950</v>
      </c>
      <c r="E34" s="5">
        <v>25</v>
      </c>
      <c r="F34" s="5" t="s">
        <v>9</v>
      </c>
      <c r="G34" s="6" t="str">
        <f t="shared" si="0"/>
        <v>High Price</v>
      </c>
      <c r="H34" s="6" t="str">
        <f t="shared" si="1"/>
        <v>17</v>
      </c>
      <c r="I34" s="6" t="str">
        <f t="shared" si="2"/>
        <v>IN</v>
      </c>
      <c r="J34" s="10" t="str">
        <f t="shared" si="3"/>
        <v>JUN</v>
      </c>
      <c r="K34" s="2"/>
      <c r="L34" s="2"/>
    </row>
    <row r="35" spans="1:12" ht="15.75" customHeight="1" x14ac:dyDescent="0.25">
      <c r="A35" s="14" t="s">
        <v>90</v>
      </c>
      <c r="B35" s="15" t="s">
        <v>91</v>
      </c>
      <c r="C35" s="15" t="s">
        <v>92</v>
      </c>
      <c r="D35" s="15">
        <v>100</v>
      </c>
      <c r="E35" s="15">
        <v>20</v>
      </c>
      <c r="F35" s="15" t="s">
        <v>53</v>
      </c>
      <c r="G35" s="16" t="str">
        <f t="shared" si="0"/>
        <v>Standard Price</v>
      </c>
      <c r="H35" s="16" t="str">
        <f t="shared" si="1"/>
        <v>09</v>
      </c>
      <c r="I35" s="16" t="str">
        <f t="shared" si="2"/>
        <v>FR</v>
      </c>
      <c r="J35" s="17" t="str">
        <f t="shared" si="3"/>
        <v>JUL</v>
      </c>
      <c r="K35" s="2"/>
      <c r="L35" s="2"/>
    </row>
    <row r="36" spans="1:12" ht="15.75" customHeight="1" x14ac:dyDescent="0.25"/>
    <row r="37" spans="1:12" ht="15.75" customHeight="1" x14ac:dyDescent="0.25"/>
    <row r="38" spans="1:12" ht="15.75" customHeight="1" x14ac:dyDescent="0.25"/>
    <row r="39" spans="1:12" ht="15.75" customHeight="1" x14ac:dyDescent="0.25"/>
    <row r="40" spans="1:12" ht="15.75" customHeight="1" x14ac:dyDescent="0.25"/>
    <row r="41" spans="1:12" ht="15.75" customHeight="1" x14ac:dyDescent="0.25"/>
    <row r="42" spans="1:12" ht="15.75" customHeight="1" x14ac:dyDescent="0.25"/>
    <row r="43" spans="1:12" ht="15.75" customHeight="1" x14ac:dyDescent="0.25"/>
    <row r="44" spans="1:12" ht="15.75" customHeight="1" x14ac:dyDescent="0.25"/>
    <row r="45" spans="1:12" ht="15.75" customHeight="1" x14ac:dyDescent="0.25"/>
    <row r="46" spans="1:12" ht="15.75" customHeight="1" x14ac:dyDescent="0.25"/>
    <row r="47" spans="1:12" ht="15.75" customHeight="1" x14ac:dyDescent="0.25"/>
    <row r="48" spans="1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Sathya R</cp:lastModifiedBy>
  <cp:lastPrinted>2026-09-21T16:06:25Z</cp:lastPrinted>
  <dcterms:created xsi:type="dcterms:W3CDTF">2026-09-21T16:40:49Z</dcterms:created>
  <dcterms:modified xsi:type="dcterms:W3CDTF">2026-09-21T16:41:08Z</dcterms:modified>
</cp:coreProperties>
</file>